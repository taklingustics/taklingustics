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cheung\Desktop\2-D higuchi\concreteness-volatility\"/>
    </mc:Choice>
  </mc:AlternateContent>
  <bookViews>
    <workbookView xWindow="0" yWindow="0" windowWidth="24660" windowHeight="9570"/>
  </bookViews>
  <sheets>
    <sheet name="Sheet5" sheetId="5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61" i="5" l="1"/>
  <c r="AV60" i="5"/>
  <c r="AV59" i="5"/>
  <c r="AV58" i="5"/>
  <c r="AV57" i="5"/>
  <c r="AV56" i="5"/>
  <c r="AV55" i="5"/>
  <c r="AV54" i="5"/>
  <c r="AV53" i="5"/>
  <c r="AV52" i="5"/>
  <c r="AV51" i="5"/>
  <c r="AV50" i="5"/>
  <c r="AV49" i="5"/>
  <c r="AV48" i="5"/>
  <c r="AV47" i="5"/>
  <c r="AV46" i="5"/>
  <c r="AV45" i="5"/>
  <c r="AV44" i="5"/>
  <c r="AV43" i="5"/>
  <c r="AV42" i="5"/>
  <c r="AV41" i="5"/>
  <c r="AV40" i="5"/>
  <c r="AV39" i="5"/>
  <c r="AV38" i="5"/>
  <c r="AV37" i="5"/>
  <c r="AV36" i="5"/>
  <c r="AV35" i="5"/>
  <c r="AV34" i="5"/>
  <c r="AV33" i="5"/>
  <c r="AV32" i="5"/>
  <c r="AV31" i="5"/>
  <c r="AV30" i="5"/>
  <c r="AV29" i="5"/>
  <c r="AV28" i="5"/>
  <c r="AV27" i="5"/>
  <c r="AV26" i="5"/>
  <c r="AV25" i="5"/>
  <c r="AV24" i="5"/>
  <c r="AV23" i="5"/>
  <c r="AV22" i="5"/>
  <c r="AV21" i="5"/>
  <c r="AV20" i="5"/>
  <c r="AV19" i="5"/>
  <c r="AV18" i="5"/>
  <c r="AV17" i="5"/>
  <c r="AV16" i="5"/>
  <c r="AV15" i="5"/>
  <c r="AV14" i="5"/>
  <c r="AV13" i="5"/>
  <c r="AV12" i="5"/>
  <c r="AV11" i="5"/>
  <c r="AV10" i="5"/>
  <c r="AV9" i="5"/>
  <c r="AV8" i="5"/>
  <c r="AV7" i="5"/>
  <c r="AV6" i="5"/>
  <c r="AV5" i="5"/>
  <c r="AV4" i="5"/>
  <c r="AV3" i="5"/>
  <c r="AV2" i="5"/>
  <c r="AU62" i="5"/>
  <c r="AW1" i="5" l="1"/>
  <c r="AW2" i="5"/>
  <c r="AW3" i="5" l="1"/>
</calcChain>
</file>

<file path=xl/sharedStrings.xml><?xml version="1.0" encoding="utf-8"?>
<sst xmlns="http://schemas.openxmlformats.org/spreadsheetml/2006/main" count="15" uniqueCount="12">
  <si>
    <t>SCroll to Col-AA</t>
  </si>
  <si>
    <t>normalized time series</t>
  </si>
  <si>
    <t>update Cell Address when NN not 61</t>
  </si>
  <si>
    <t>update - NN in the program when not 61 data points</t>
  </si>
  <si>
    <t>CV col-AJ</t>
  </si>
  <si>
    <t>average col AJ</t>
  </si>
  <si>
    <t>std  col AH</t>
  </si>
  <si>
    <t>VBA output</t>
  </si>
  <si>
    <t>calc directly</t>
  </si>
  <si>
    <t>on spreadsheet</t>
  </si>
  <si>
    <t>AA = col27</t>
  </si>
  <si>
    <t>61 data  column AM = col 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</si>
</sst>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W62"/>
  <sheetViews>
    <sheetView tabSelected="1" topLeftCell="Z1" workbookViewId="0">
      <selection activeCell="AK8" sqref="AK8"/>
    </sheetView>
  </sheetViews>
  <sheetFormatPr defaultRowHeight="15" x14ac:dyDescent="0.25"/>
  <cols>
    <col min="37" max="37" width="34.42578125" customWidth="1"/>
    <col min="46" max="46" width="18.28515625" customWidth="1"/>
    <col min="48" max="49" width="18.42578125" customWidth="1"/>
  </cols>
  <sheetData>
    <row r="1" spans="1:49" x14ac:dyDescent="0.25">
      <c r="A1" t="s">
        <v>0</v>
      </c>
      <c r="AA1" t="s">
        <v>10</v>
      </c>
      <c r="AC1">
        <v>7</v>
      </c>
      <c r="AH1">
        <v>2.7760914681588429E-2</v>
      </c>
      <c r="AI1">
        <v>-2.6032447342419002E-4</v>
      </c>
      <c r="AJ1">
        <v>-106.63966517029287</v>
      </c>
      <c r="AK1" t="s">
        <v>7</v>
      </c>
      <c r="AM1">
        <v>7</v>
      </c>
      <c r="AN1" t="s">
        <v>11</v>
      </c>
      <c r="AT1" t="s">
        <v>8</v>
      </c>
      <c r="AU1">
        <v>7</v>
      </c>
      <c r="AV1" t="s">
        <v>1</v>
      </c>
      <c r="AW1">
        <f>STDEV(AV2:AV61)</f>
        <v>2.7760914681588429E-2</v>
      </c>
    </row>
    <row r="2" spans="1:49" x14ac:dyDescent="0.25">
      <c r="AC2">
        <v>2</v>
      </c>
      <c r="AG2">
        <v>-1.1933174224343675E-2</v>
      </c>
      <c r="AK2" t="s">
        <v>6</v>
      </c>
      <c r="AM2">
        <v>2</v>
      </c>
      <c r="AT2" t="s">
        <v>9</v>
      </c>
      <c r="AU2">
        <v>2</v>
      </c>
      <c r="AV2">
        <f>(AU2-AU1)/(AU2+417)</f>
        <v>-1.1933174224343675E-2</v>
      </c>
      <c r="AW2">
        <f>AVERAGE(AV2:AV61)</f>
        <v>-2.6032447342419002E-4</v>
      </c>
    </row>
    <row r="3" spans="1:49" x14ac:dyDescent="0.25">
      <c r="AC3">
        <v>17</v>
      </c>
      <c r="AG3">
        <v>3.4562211981566823E-2</v>
      </c>
      <c r="AK3" t="s">
        <v>5</v>
      </c>
      <c r="AM3">
        <v>17</v>
      </c>
      <c r="AN3" t="s">
        <v>3</v>
      </c>
      <c r="AU3">
        <v>17</v>
      </c>
      <c r="AV3">
        <f t="shared" ref="AV3:AV61" si="0">(AU3-AU2)/(AU3+417)</f>
        <v>3.4562211981566823E-2</v>
      </c>
      <c r="AW3">
        <f>AW1/AW2</f>
        <v>-106.63966517029287</v>
      </c>
    </row>
    <row r="4" spans="1:49" x14ac:dyDescent="0.25">
      <c r="AC4">
        <v>3</v>
      </c>
      <c r="AG4">
        <v>-3.3333333333333333E-2</v>
      </c>
      <c r="AK4" t="s">
        <v>4</v>
      </c>
      <c r="AM4">
        <v>3</v>
      </c>
      <c r="AU4">
        <v>3</v>
      </c>
      <c r="AV4">
        <f t="shared" si="0"/>
        <v>-3.3333333333333333E-2</v>
      </c>
    </row>
    <row r="5" spans="1:49" x14ac:dyDescent="0.25">
      <c r="AC5">
        <v>5</v>
      </c>
      <c r="AG5">
        <v>4.7393364928909956E-3</v>
      </c>
      <c r="AM5">
        <v>5</v>
      </c>
      <c r="AN5" t="s">
        <v>2</v>
      </c>
      <c r="AU5">
        <v>5</v>
      </c>
      <c r="AV5">
        <f t="shared" si="0"/>
        <v>4.7393364928909956E-3</v>
      </c>
    </row>
    <row r="6" spans="1:49" x14ac:dyDescent="0.25">
      <c r="AC6">
        <v>0</v>
      </c>
      <c r="AG6">
        <v>-1.1990407673860911E-2</v>
      </c>
      <c r="AM6">
        <v>0</v>
      </c>
      <c r="AN6" t="s">
        <v>2</v>
      </c>
      <c r="AU6">
        <v>0</v>
      </c>
      <c r="AV6">
        <f t="shared" si="0"/>
        <v>-1.1990407673860911E-2</v>
      </c>
    </row>
    <row r="7" spans="1:49" x14ac:dyDescent="0.25">
      <c r="AC7">
        <v>1</v>
      </c>
      <c r="AG7">
        <v>2.3923444976076554E-3</v>
      </c>
      <c r="AM7">
        <v>1</v>
      </c>
      <c r="AN7" t="s">
        <v>2</v>
      </c>
      <c r="AU7">
        <v>1</v>
      </c>
      <c r="AV7">
        <f t="shared" si="0"/>
        <v>2.3923444976076554E-3</v>
      </c>
    </row>
    <row r="8" spans="1:49" x14ac:dyDescent="0.25">
      <c r="AC8">
        <v>13</v>
      </c>
      <c r="AG8">
        <v>2.7906976744186046E-2</v>
      </c>
      <c r="AM8">
        <v>13</v>
      </c>
      <c r="AN8" t="s">
        <v>2</v>
      </c>
      <c r="AU8">
        <v>13</v>
      </c>
      <c r="AV8">
        <f t="shared" si="0"/>
        <v>2.7906976744186046E-2</v>
      </c>
    </row>
    <row r="9" spans="1:49" x14ac:dyDescent="0.25">
      <c r="AC9">
        <v>0</v>
      </c>
      <c r="AG9">
        <v>-3.117505995203837E-2</v>
      </c>
      <c r="AM9">
        <v>0</v>
      </c>
      <c r="AU9">
        <v>0</v>
      </c>
      <c r="AV9">
        <f t="shared" si="0"/>
        <v>-3.117505995203837E-2</v>
      </c>
    </row>
    <row r="10" spans="1:49" x14ac:dyDescent="0.25">
      <c r="AC10">
        <v>1</v>
      </c>
      <c r="AG10">
        <v>2.3923444976076554E-3</v>
      </c>
      <c r="AM10">
        <v>1</v>
      </c>
      <c r="AU10">
        <v>1</v>
      </c>
      <c r="AV10">
        <f t="shared" si="0"/>
        <v>2.3923444976076554E-3</v>
      </c>
    </row>
    <row r="11" spans="1:49" x14ac:dyDescent="0.25">
      <c r="AC11">
        <v>1</v>
      </c>
      <c r="AG11">
        <v>0</v>
      </c>
      <c r="AM11">
        <v>1</v>
      </c>
      <c r="AU11">
        <v>1</v>
      </c>
      <c r="AV11">
        <f t="shared" si="0"/>
        <v>0</v>
      </c>
    </row>
    <row r="12" spans="1:49" x14ac:dyDescent="0.25">
      <c r="AC12">
        <v>0</v>
      </c>
      <c r="AG12">
        <v>-2.3980815347721821E-3</v>
      </c>
      <c r="AM12">
        <v>0</v>
      </c>
      <c r="AU12">
        <v>0</v>
      </c>
      <c r="AV12">
        <f t="shared" si="0"/>
        <v>-2.3980815347721821E-3</v>
      </c>
    </row>
    <row r="13" spans="1:49" x14ac:dyDescent="0.25">
      <c r="AC13">
        <v>1</v>
      </c>
      <c r="AG13">
        <v>2.3923444976076554E-3</v>
      </c>
      <c r="AM13">
        <v>1</v>
      </c>
      <c r="AU13">
        <v>1</v>
      </c>
      <c r="AV13">
        <f t="shared" si="0"/>
        <v>2.3923444976076554E-3</v>
      </c>
    </row>
    <row r="14" spans="1:49" x14ac:dyDescent="0.25">
      <c r="AC14">
        <v>2</v>
      </c>
      <c r="AG14">
        <v>2.3866348448687352E-3</v>
      </c>
      <c r="AM14">
        <v>2</v>
      </c>
      <c r="AU14">
        <v>2</v>
      </c>
      <c r="AV14">
        <f t="shared" si="0"/>
        <v>2.3866348448687352E-3</v>
      </c>
    </row>
    <row r="15" spans="1:49" x14ac:dyDescent="0.25">
      <c r="AC15">
        <v>25</v>
      </c>
      <c r="AG15">
        <v>5.2036199095022627E-2</v>
      </c>
      <c r="AM15">
        <v>25</v>
      </c>
      <c r="AU15">
        <v>25</v>
      </c>
      <c r="AV15">
        <f t="shared" si="0"/>
        <v>5.2036199095022627E-2</v>
      </c>
    </row>
    <row r="16" spans="1:49" x14ac:dyDescent="0.25">
      <c r="AC16">
        <v>4</v>
      </c>
      <c r="AG16">
        <v>-4.9881235154394299E-2</v>
      </c>
      <c r="AM16">
        <v>4</v>
      </c>
      <c r="AU16">
        <v>4</v>
      </c>
      <c r="AV16">
        <f t="shared" si="0"/>
        <v>-4.9881235154394299E-2</v>
      </c>
    </row>
    <row r="17" spans="29:48" x14ac:dyDescent="0.25">
      <c r="AC17">
        <v>13</v>
      </c>
      <c r="AG17">
        <v>2.0930232558139535E-2</v>
      </c>
      <c r="AM17">
        <v>13</v>
      </c>
      <c r="AU17">
        <v>13</v>
      </c>
      <c r="AV17">
        <f t="shared" si="0"/>
        <v>2.0930232558139535E-2</v>
      </c>
    </row>
    <row r="18" spans="29:48" x14ac:dyDescent="0.25">
      <c r="AC18">
        <v>5</v>
      </c>
      <c r="AG18">
        <v>-1.8957345971563982E-2</v>
      </c>
      <c r="AM18">
        <v>5</v>
      </c>
      <c r="AU18">
        <v>5</v>
      </c>
      <c r="AV18">
        <f t="shared" si="0"/>
        <v>-1.8957345971563982E-2</v>
      </c>
    </row>
    <row r="19" spans="29:48" x14ac:dyDescent="0.25">
      <c r="AC19">
        <v>7</v>
      </c>
      <c r="AG19">
        <v>4.7169811320754715E-3</v>
      </c>
      <c r="AM19">
        <v>7</v>
      </c>
      <c r="AU19">
        <v>7</v>
      </c>
      <c r="AV19">
        <f t="shared" si="0"/>
        <v>4.7169811320754715E-3</v>
      </c>
    </row>
    <row r="20" spans="29:48" x14ac:dyDescent="0.25">
      <c r="AC20">
        <v>30</v>
      </c>
      <c r="AG20">
        <v>5.145413870246085E-2</v>
      </c>
      <c r="AM20">
        <v>30</v>
      </c>
      <c r="AU20">
        <v>30</v>
      </c>
      <c r="AV20">
        <f t="shared" si="0"/>
        <v>5.145413870246085E-2</v>
      </c>
    </row>
    <row r="21" spans="29:48" x14ac:dyDescent="0.25">
      <c r="AC21">
        <v>0</v>
      </c>
      <c r="AG21">
        <v>-7.1942446043165464E-2</v>
      </c>
      <c r="AM21">
        <v>0</v>
      </c>
      <c r="AU21">
        <v>0</v>
      </c>
      <c r="AV21">
        <f t="shared" si="0"/>
        <v>-7.1942446043165464E-2</v>
      </c>
    </row>
    <row r="22" spans="29:48" x14ac:dyDescent="0.25">
      <c r="AC22">
        <v>1</v>
      </c>
      <c r="AG22">
        <v>2.3923444976076554E-3</v>
      </c>
      <c r="AM22">
        <v>1</v>
      </c>
      <c r="AU22">
        <v>1</v>
      </c>
      <c r="AV22">
        <f t="shared" si="0"/>
        <v>2.3923444976076554E-3</v>
      </c>
    </row>
    <row r="23" spans="29:48" x14ac:dyDescent="0.25">
      <c r="AC23">
        <v>2</v>
      </c>
      <c r="AG23">
        <v>2.3866348448687352E-3</v>
      </c>
      <c r="AM23">
        <v>2</v>
      </c>
      <c r="AU23">
        <v>2</v>
      </c>
      <c r="AV23">
        <f t="shared" si="0"/>
        <v>2.3866348448687352E-3</v>
      </c>
    </row>
    <row r="24" spans="29:48" x14ac:dyDescent="0.25">
      <c r="AC24">
        <v>11</v>
      </c>
      <c r="AG24">
        <v>2.1028037383177569E-2</v>
      </c>
      <c r="AM24">
        <v>11</v>
      </c>
      <c r="AU24">
        <v>11</v>
      </c>
      <c r="AV24">
        <f t="shared" si="0"/>
        <v>2.1028037383177569E-2</v>
      </c>
    </row>
    <row r="25" spans="29:48" x14ac:dyDescent="0.25">
      <c r="AC25">
        <v>1</v>
      </c>
      <c r="AG25">
        <v>-2.3923444976076555E-2</v>
      </c>
      <c r="AM25">
        <v>1</v>
      </c>
      <c r="AU25">
        <v>1</v>
      </c>
      <c r="AV25">
        <f t="shared" si="0"/>
        <v>-2.3923444976076555E-2</v>
      </c>
    </row>
    <row r="26" spans="29:48" x14ac:dyDescent="0.25">
      <c r="AC26">
        <v>1</v>
      </c>
      <c r="AG26">
        <v>0</v>
      </c>
      <c r="AM26">
        <v>1</v>
      </c>
      <c r="AU26">
        <v>1</v>
      </c>
      <c r="AV26">
        <f t="shared" si="0"/>
        <v>0</v>
      </c>
    </row>
    <row r="27" spans="29:48" x14ac:dyDescent="0.25">
      <c r="AC27">
        <v>4</v>
      </c>
      <c r="AG27">
        <v>7.1258907363420431E-3</v>
      </c>
      <c r="AM27">
        <v>4</v>
      </c>
      <c r="AU27">
        <v>4</v>
      </c>
      <c r="AV27">
        <f t="shared" si="0"/>
        <v>7.1258907363420431E-3</v>
      </c>
    </row>
    <row r="28" spans="29:48" x14ac:dyDescent="0.25">
      <c r="AC28">
        <v>11</v>
      </c>
      <c r="AG28">
        <v>1.6355140186915886E-2</v>
      </c>
      <c r="AM28">
        <v>11</v>
      </c>
      <c r="AU28">
        <v>11</v>
      </c>
      <c r="AV28">
        <f t="shared" si="0"/>
        <v>1.6355140186915886E-2</v>
      </c>
    </row>
    <row r="29" spans="29:48" x14ac:dyDescent="0.25">
      <c r="AC29">
        <v>0</v>
      </c>
      <c r="AG29">
        <v>-2.6378896882494004E-2</v>
      </c>
      <c r="AM29">
        <v>0</v>
      </c>
      <c r="AU29">
        <v>0</v>
      </c>
      <c r="AV29">
        <f t="shared" si="0"/>
        <v>-2.6378896882494004E-2</v>
      </c>
    </row>
    <row r="30" spans="29:48" x14ac:dyDescent="0.25">
      <c r="AC30">
        <v>4</v>
      </c>
      <c r="AG30">
        <v>9.5011876484560574E-3</v>
      </c>
      <c r="AM30">
        <v>4</v>
      </c>
      <c r="AU30">
        <v>4</v>
      </c>
      <c r="AV30">
        <f t="shared" si="0"/>
        <v>9.5011876484560574E-3</v>
      </c>
    </row>
    <row r="31" spans="29:48" x14ac:dyDescent="0.25">
      <c r="AC31">
        <v>21</v>
      </c>
      <c r="AG31">
        <v>3.8812785388127852E-2</v>
      </c>
      <c r="AM31">
        <v>21</v>
      </c>
      <c r="AU31">
        <v>21</v>
      </c>
      <c r="AV31">
        <f t="shared" si="0"/>
        <v>3.8812785388127852E-2</v>
      </c>
    </row>
    <row r="32" spans="29:48" x14ac:dyDescent="0.25">
      <c r="AC32">
        <v>1</v>
      </c>
      <c r="AG32">
        <v>-4.784688995215311E-2</v>
      </c>
      <c r="AM32">
        <v>1</v>
      </c>
      <c r="AU32">
        <v>1</v>
      </c>
      <c r="AV32">
        <f t="shared" si="0"/>
        <v>-4.784688995215311E-2</v>
      </c>
    </row>
    <row r="33" spans="29:48" x14ac:dyDescent="0.25">
      <c r="AC33">
        <v>1</v>
      </c>
      <c r="AG33">
        <v>0</v>
      </c>
      <c r="AM33">
        <v>1</v>
      </c>
      <c r="AU33">
        <v>1</v>
      </c>
      <c r="AV33">
        <f t="shared" si="0"/>
        <v>0</v>
      </c>
    </row>
    <row r="34" spans="29:48" x14ac:dyDescent="0.25">
      <c r="AC34">
        <v>0</v>
      </c>
      <c r="AG34">
        <v>-2.3980815347721821E-3</v>
      </c>
      <c r="AM34">
        <v>0</v>
      </c>
      <c r="AU34">
        <v>0</v>
      </c>
      <c r="AV34">
        <f t="shared" si="0"/>
        <v>-2.3980815347721821E-3</v>
      </c>
    </row>
    <row r="35" spans="29:48" x14ac:dyDescent="0.25">
      <c r="AC35">
        <v>19</v>
      </c>
      <c r="AG35">
        <v>4.3577981651376149E-2</v>
      </c>
      <c r="AM35">
        <v>19</v>
      </c>
      <c r="AU35">
        <v>19</v>
      </c>
      <c r="AV35">
        <f t="shared" si="0"/>
        <v>4.3577981651376149E-2</v>
      </c>
    </row>
    <row r="36" spans="29:48" x14ac:dyDescent="0.25">
      <c r="AC36">
        <v>1</v>
      </c>
      <c r="AG36">
        <v>-4.3062200956937802E-2</v>
      </c>
      <c r="AM36">
        <v>1</v>
      </c>
      <c r="AU36">
        <v>1</v>
      </c>
      <c r="AV36">
        <f t="shared" si="0"/>
        <v>-4.3062200956937802E-2</v>
      </c>
    </row>
    <row r="37" spans="29:48" x14ac:dyDescent="0.25">
      <c r="AC37">
        <v>11</v>
      </c>
      <c r="AG37">
        <v>2.336448598130841E-2</v>
      </c>
      <c r="AM37">
        <v>11</v>
      </c>
      <c r="AU37">
        <v>11</v>
      </c>
      <c r="AV37">
        <f t="shared" si="0"/>
        <v>2.336448598130841E-2</v>
      </c>
    </row>
    <row r="38" spans="29:48" x14ac:dyDescent="0.25">
      <c r="AC38">
        <v>5</v>
      </c>
      <c r="AG38">
        <v>-1.4218009478672985E-2</v>
      </c>
      <c r="AM38">
        <v>5</v>
      </c>
      <c r="AU38">
        <v>5</v>
      </c>
      <c r="AV38">
        <f t="shared" si="0"/>
        <v>-1.4218009478672985E-2</v>
      </c>
    </row>
    <row r="39" spans="29:48" x14ac:dyDescent="0.25">
      <c r="AC39">
        <v>2</v>
      </c>
      <c r="AG39">
        <v>-7.1599045346062056E-3</v>
      </c>
      <c r="AM39">
        <v>2</v>
      </c>
      <c r="AU39">
        <v>2</v>
      </c>
      <c r="AV39">
        <f t="shared" si="0"/>
        <v>-7.1599045346062056E-3</v>
      </c>
    </row>
    <row r="40" spans="29:48" x14ac:dyDescent="0.25">
      <c r="AC40">
        <v>4</v>
      </c>
      <c r="AG40">
        <v>4.7505938242280287E-3</v>
      </c>
      <c r="AM40">
        <v>4</v>
      </c>
      <c r="AU40">
        <v>4</v>
      </c>
      <c r="AV40">
        <f t="shared" si="0"/>
        <v>4.7505938242280287E-3</v>
      </c>
    </row>
    <row r="41" spans="29:48" x14ac:dyDescent="0.25">
      <c r="AC41">
        <v>17</v>
      </c>
      <c r="AG41">
        <v>2.9953917050691243E-2</v>
      </c>
      <c r="AM41">
        <v>17</v>
      </c>
      <c r="AU41">
        <v>17</v>
      </c>
      <c r="AV41">
        <f t="shared" si="0"/>
        <v>2.9953917050691243E-2</v>
      </c>
    </row>
    <row r="42" spans="29:48" x14ac:dyDescent="0.25">
      <c r="AC42">
        <v>9</v>
      </c>
      <c r="AG42">
        <v>-1.8779342723004695E-2</v>
      </c>
      <c r="AM42">
        <v>9</v>
      </c>
      <c r="AU42">
        <v>9</v>
      </c>
      <c r="AV42">
        <f t="shared" si="0"/>
        <v>-1.8779342723004695E-2</v>
      </c>
    </row>
    <row r="43" spans="29:48" x14ac:dyDescent="0.25">
      <c r="AC43">
        <v>11</v>
      </c>
      <c r="AG43">
        <v>4.6728971962616819E-3</v>
      </c>
      <c r="AM43">
        <v>11</v>
      </c>
      <c r="AU43">
        <v>11</v>
      </c>
      <c r="AV43">
        <f t="shared" si="0"/>
        <v>4.6728971962616819E-3</v>
      </c>
    </row>
    <row r="44" spans="29:48" x14ac:dyDescent="0.25">
      <c r="AC44">
        <v>1</v>
      </c>
      <c r="AG44">
        <v>-2.3923444976076555E-2</v>
      </c>
      <c r="AM44">
        <v>1</v>
      </c>
      <c r="AU44">
        <v>1</v>
      </c>
      <c r="AV44">
        <f t="shared" si="0"/>
        <v>-2.3923444976076555E-2</v>
      </c>
    </row>
    <row r="45" spans="29:48" x14ac:dyDescent="0.25">
      <c r="AC45">
        <v>1</v>
      </c>
      <c r="AG45">
        <v>0</v>
      </c>
      <c r="AM45">
        <v>1</v>
      </c>
      <c r="AU45">
        <v>1</v>
      </c>
      <c r="AV45">
        <f t="shared" si="0"/>
        <v>0</v>
      </c>
    </row>
    <row r="46" spans="29:48" x14ac:dyDescent="0.25">
      <c r="AC46">
        <v>8</v>
      </c>
      <c r="AG46">
        <v>1.6470588235294119E-2</v>
      </c>
      <c r="AM46">
        <v>8</v>
      </c>
      <c r="AU46">
        <v>8</v>
      </c>
      <c r="AV46">
        <f t="shared" si="0"/>
        <v>1.6470588235294119E-2</v>
      </c>
    </row>
    <row r="47" spans="29:48" x14ac:dyDescent="0.25">
      <c r="AC47">
        <v>5</v>
      </c>
      <c r="AG47">
        <v>-7.1090047393364926E-3</v>
      </c>
      <c r="AM47">
        <v>5</v>
      </c>
      <c r="AU47">
        <v>5</v>
      </c>
      <c r="AV47">
        <f t="shared" si="0"/>
        <v>-7.1090047393364926E-3</v>
      </c>
    </row>
    <row r="48" spans="29:48" x14ac:dyDescent="0.25">
      <c r="AC48">
        <v>11</v>
      </c>
      <c r="AG48">
        <v>1.4018691588785047E-2</v>
      </c>
      <c r="AM48">
        <v>11</v>
      </c>
      <c r="AU48">
        <v>11</v>
      </c>
      <c r="AV48">
        <f t="shared" si="0"/>
        <v>1.4018691588785047E-2</v>
      </c>
    </row>
    <row r="49" spans="29:48" x14ac:dyDescent="0.25">
      <c r="AC49">
        <v>5</v>
      </c>
      <c r="AG49">
        <v>-1.4218009478672985E-2</v>
      </c>
      <c r="AM49">
        <v>5</v>
      </c>
      <c r="AU49">
        <v>5</v>
      </c>
      <c r="AV49">
        <f t="shared" si="0"/>
        <v>-1.4218009478672985E-2</v>
      </c>
    </row>
    <row r="50" spans="29:48" x14ac:dyDescent="0.25">
      <c r="AC50">
        <v>7</v>
      </c>
      <c r="AG50">
        <v>4.7169811320754715E-3</v>
      </c>
      <c r="AM50">
        <v>7</v>
      </c>
      <c r="AU50">
        <v>7</v>
      </c>
      <c r="AV50">
        <f t="shared" si="0"/>
        <v>4.7169811320754715E-3</v>
      </c>
    </row>
    <row r="51" spans="29:48" x14ac:dyDescent="0.25">
      <c r="AC51">
        <v>19</v>
      </c>
      <c r="AG51">
        <v>2.7522935779816515E-2</v>
      </c>
      <c r="AM51">
        <v>19</v>
      </c>
      <c r="AU51">
        <v>19</v>
      </c>
      <c r="AV51">
        <f t="shared" si="0"/>
        <v>2.7522935779816515E-2</v>
      </c>
    </row>
    <row r="52" spans="29:48" x14ac:dyDescent="0.25">
      <c r="AC52">
        <v>2</v>
      </c>
      <c r="AG52">
        <v>-4.0572792362768499E-2</v>
      </c>
      <c r="AM52">
        <v>2</v>
      </c>
      <c r="AU52">
        <v>2</v>
      </c>
      <c r="AV52">
        <f t="shared" si="0"/>
        <v>-4.0572792362768499E-2</v>
      </c>
    </row>
    <row r="53" spans="29:48" x14ac:dyDescent="0.25">
      <c r="AC53">
        <v>11</v>
      </c>
      <c r="AG53">
        <v>2.1028037383177569E-2</v>
      </c>
      <c r="AM53">
        <v>11</v>
      </c>
      <c r="AU53">
        <v>11</v>
      </c>
      <c r="AV53">
        <f t="shared" si="0"/>
        <v>2.1028037383177569E-2</v>
      </c>
    </row>
    <row r="54" spans="29:48" x14ac:dyDescent="0.25">
      <c r="AC54">
        <v>9</v>
      </c>
      <c r="AG54">
        <v>-4.6948356807511738E-3</v>
      </c>
      <c r="AM54">
        <v>9</v>
      </c>
      <c r="AU54">
        <v>9</v>
      </c>
      <c r="AV54">
        <f t="shared" si="0"/>
        <v>-4.6948356807511738E-3</v>
      </c>
    </row>
    <row r="55" spans="29:48" x14ac:dyDescent="0.25">
      <c r="AC55">
        <v>0</v>
      </c>
      <c r="AG55">
        <v>-2.1582733812949641E-2</v>
      </c>
      <c r="AM55">
        <v>0</v>
      </c>
      <c r="AU55">
        <v>0</v>
      </c>
      <c r="AV55">
        <f t="shared" si="0"/>
        <v>-2.1582733812949641E-2</v>
      </c>
    </row>
    <row r="56" spans="29:48" x14ac:dyDescent="0.25">
      <c r="AC56">
        <v>26</v>
      </c>
      <c r="AG56">
        <v>5.8690744920993229E-2</v>
      </c>
      <c r="AM56">
        <v>26</v>
      </c>
      <c r="AU56">
        <v>26</v>
      </c>
      <c r="AV56">
        <f t="shared" si="0"/>
        <v>5.8690744920993229E-2</v>
      </c>
    </row>
    <row r="57" spans="29:48" x14ac:dyDescent="0.25">
      <c r="AC57">
        <v>4</v>
      </c>
      <c r="AG57">
        <v>-5.2256532066508314E-2</v>
      </c>
      <c r="AM57">
        <v>4</v>
      </c>
      <c r="AU57">
        <v>4</v>
      </c>
      <c r="AV57">
        <f t="shared" si="0"/>
        <v>-5.2256532066508314E-2</v>
      </c>
    </row>
    <row r="58" spans="29:48" x14ac:dyDescent="0.25">
      <c r="AC58">
        <v>2</v>
      </c>
      <c r="AG58">
        <v>-4.7732696897374704E-3</v>
      </c>
      <c r="AM58">
        <v>2</v>
      </c>
      <c r="AU58">
        <v>2</v>
      </c>
      <c r="AV58">
        <f t="shared" si="0"/>
        <v>-4.7732696897374704E-3</v>
      </c>
    </row>
    <row r="59" spans="29:48" x14ac:dyDescent="0.25">
      <c r="AC59">
        <v>21</v>
      </c>
      <c r="AG59">
        <v>4.3378995433789952E-2</v>
      </c>
      <c r="AM59">
        <v>21</v>
      </c>
      <c r="AU59">
        <v>21</v>
      </c>
      <c r="AV59">
        <f t="shared" si="0"/>
        <v>4.3378995433789952E-2</v>
      </c>
    </row>
    <row r="60" spans="29:48" x14ac:dyDescent="0.25">
      <c r="AC60">
        <v>1</v>
      </c>
      <c r="AG60">
        <v>-4.784688995215311E-2</v>
      </c>
      <c r="AM60">
        <v>1</v>
      </c>
      <c r="AU60">
        <v>1</v>
      </c>
      <c r="AV60">
        <f t="shared" si="0"/>
        <v>-4.784688995215311E-2</v>
      </c>
    </row>
    <row r="61" spans="29:48" x14ac:dyDescent="0.25">
      <c r="AC61">
        <v>10</v>
      </c>
      <c r="AG61">
        <v>2.1077283372365339E-2</v>
      </c>
      <c r="AM61">
        <v>10</v>
      </c>
      <c r="AU61">
        <v>10</v>
      </c>
      <c r="AV61">
        <f t="shared" si="0"/>
        <v>2.1077283372365339E-2</v>
      </c>
    </row>
    <row r="62" spans="29:48" x14ac:dyDescent="0.25">
      <c r="AU62">
        <f>SUM(AU1:AU61)</f>
        <v>417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Sheet5</vt:lpstr>
    </vt:vector>
  </TitlesOfParts>
  <Company>QueensBorough Community College / CUNY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2019-04-22T16:26:46Z</dcterms:created>
  <dcterms:modified xsi:type="dcterms:W3CDTF">2019-12-21T16:32:15Z</dcterms:modified>
</cp:coreProperties>
</file>